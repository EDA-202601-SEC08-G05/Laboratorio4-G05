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ba16ff0fd63e2c/Desktop/Universidad/SEGUNDO SEMESTRE/EDA/PY1/Laboratorio4-G05/Docs/"/>
    </mc:Choice>
  </mc:AlternateContent>
  <xr:revisionPtr revIDLastSave="275" documentId="13_ncr:1_{059725CA-9D74-4145-8FC3-28FE5756BBF0}" xr6:coauthVersionLast="47" xr6:coauthVersionMax="47" xr10:uidLastSave="{DF166357-D58A-46B2-8FFD-7815DF5F6D68}"/>
  <bookViews>
    <workbookView xWindow="-108" yWindow="-108" windowWidth="23256" windowHeight="13896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<sst xmlns="http://schemas.openxmlformats.org/spreadsheetml/2006/main" count="21" uniqueCount="18">
  <si>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</si>
  <si>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</si>
  <si>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</si>
  <si>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</si>
  <si>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</si>
  <si>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</si>
  <si>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</si>
  <si>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</si>
  <si>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</si>
  <si>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</si>
  <si>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</si>
  <si>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</si>
  <si>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</si>
  <si>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</si>
  <si>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</si>
  <si>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</si>
  <si>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</si>
  <si>
    <t>david lastre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</si>
</sst>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microsoft.com/office/2017/10/relationships/person" Target="persons/person.xml"/><Relationship Id="rId5" Type="http://schemas.openxmlformats.org/officeDocument/2006/relationships/chartsheet" Target="chartsheets/sheet4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0.107</c:v>
                </c:pt>
                <c:pt idx="1">
                  <c:v>0.40300000000000002</c:v>
                </c:pt>
                <c:pt idx="2">
                  <c:v>0.77200000000000002</c:v>
                </c:pt>
                <c:pt idx="3">
                  <c:v>1.825</c:v>
                </c:pt>
                <c:pt idx="4">
                  <c:v>2.3279999999999998</c:v>
                </c:pt>
                <c:pt idx="5">
                  <c:v>3.81</c:v>
                </c:pt>
                <c:pt idx="6">
                  <c:v>5.9509999999999996</c:v>
                </c:pt>
                <c:pt idx="7">
                  <c:v>7.3440000000000003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4'!$C$14:$C$22</c:f>
              <c:numCache>
                <c:formatCode>General</c:formatCode>
                <c:ptCount val="9"/>
                <c:pt idx="0">
                  <c:v>0.13200000000000001</c:v>
                </c:pt>
                <c:pt idx="1">
                  <c:v>6.2839999999999998</c:v>
                </c:pt>
                <c:pt idx="2">
                  <c:v>46.51</c:v>
                </c:pt>
                <c:pt idx="3">
                  <c:v>106.13500000000001</c:v>
                </c:pt>
                <c:pt idx="4">
                  <c:v>212.916</c:v>
                </c:pt>
                <c:pt idx="5">
                  <c:v>515.16499999999996</c:v>
                </c:pt>
                <c:pt idx="6">
                  <c:v>1229.557</c:v>
                </c:pt>
                <c:pt idx="7">
                  <c:v>1910.09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0.08</c:v>
                </c:pt>
                <c:pt idx="1">
                  <c:v>0.44500000000000001</c:v>
                </c:pt>
                <c:pt idx="2">
                  <c:v>0.81799999999999995</c:v>
                </c:pt>
                <c:pt idx="3">
                  <c:v>1.8859999999999999</c:v>
                </c:pt>
                <c:pt idx="4">
                  <c:v>2.7</c:v>
                </c:pt>
                <c:pt idx="5">
                  <c:v>4.242</c:v>
                </c:pt>
                <c:pt idx="6">
                  <c:v>6.6440000000000001</c:v>
                </c:pt>
                <c:pt idx="7">
                  <c:v>9.1240000000000006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4'!$D$14:$D$22</c:f>
              <c:numCache>
                <c:formatCode>General</c:formatCode>
                <c:ptCount val="9"/>
                <c:pt idx="0">
                  <c:v>4.3999999999999997E-2</c:v>
                </c:pt>
                <c:pt idx="1">
                  <c:v>0.36399999999999999</c:v>
                </c:pt>
                <c:pt idx="2">
                  <c:v>0.83899999999999997</c:v>
                </c:pt>
                <c:pt idx="3">
                  <c:v>1.1240000000000001</c:v>
                </c:pt>
                <c:pt idx="4">
                  <c:v>0.99099999999999999</c:v>
                </c:pt>
                <c:pt idx="5">
                  <c:v>3.0209999999999999</c:v>
                </c:pt>
                <c:pt idx="6">
                  <c:v>3.41</c:v>
                </c:pt>
                <c:pt idx="7">
                  <c:v>3.9689999999999999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7.0000000000000001E-3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4.0000000000000001E-3</c:v>
                </c:pt>
                <c:pt idx="4">
                  <c:v>2E-3</c:v>
                </c:pt>
                <c:pt idx="5">
                  <c:v>4.0000000000000001E-3</c:v>
                </c:pt>
                <c:pt idx="6">
                  <c:v>3.0000000000000001E-3</c:v>
                </c:pt>
                <c:pt idx="7">
                  <c:v>3.0000000000000001E-3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4'!$E$14:$E$22</c:f>
              <c:numCache>
                <c:formatCode>General</c:formatCode>
                <c:ptCount val="9"/>
                <c:pt idx="0">
                  <c:v>5.0000000000000001E-3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1E-3</c:v>
                </c:pt>
                <c:pt idx="5">
                  <c:v>3.0000000000000001E-3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7.3999999999999996E-2</c:v>
                </c:pt>
                <c:pt idx="1">
                  <c:v>0.33600000000000002</c:v>
                </c:pt>
                <c:pt idx="2">
                  <c:v>0.64700000000000002</c:v>
                </c:pt>
                <c:pt idx="3">
                  <c:v>1.4490000000000001</c:v>
                </c:pt>
                <c:pt idx="4">
                  <c:v>1.8520000000000001</c:v>
                </c:pt>
                <c:pt idx="5">
                  <c:v>59.073</c:v>
                </c:pt>
                <c:pt idx="6">
                  <c:v>6.1289999999999996</c:v>
                </c:pt>
                <c:pt idx="7">
                  <c:v>12.345000000000001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4'!$F$14:$F$22</c:f>
              <c:numCache>
                <c:formatCode>General</c:formatCode>
                <c:ptCount val="9"/>
                <c:pt idx="0">
                  <c:v>0.13300000000000001</c:v>
                </c:pt>
                <c:pt idx="1">
                  <c:v>5.4020000000000001</c:v>
                </c:pt>
                <c:pt idx="2">
                  <c:v>36.384999999999998</c:v>
                </c:pt>
                <c:pt idx="3">
                  <c:v>54.148000000000003</c:v>
                </c:pt>
                <c:pt idx="4">
                  <c:v>134.755</c:v>
                </c:pt>
                <c:pt idx="5">
                  <c:v>539.005</c:v>
                </c:pt>
                <c:pt idx="6">
                  <c:v>1228.028</c:v>
                </c:pt>
                <c:pt idx="7">
                  <c:v>1860.5920000000001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0.26600000000000001</c:v>
                </c:pt>
                <c:pt idx="1">
                  <c:v>9.798</c:v>
                </c:pt>
                <c:pt idx="2">
                  <c:v>45.534999999999997</c:v>
                </c:pt>
                <c:pt idx="3">
                  <c:v>136.529</c:v>
                </c:pt>
                <c:pt idx="4">
                  <c:v>216.57599999999999</c:v>
                </c:pt>
                <c:pt idx="5">
                  <c:v>480.65899999999999</c:v>
                </c:pt>
                <c:pt idx="6">
                  <c:v>1429.114</c:v>
                </c:pt>
                <c:pt idx="7">
                  <c:v>2148.4450000000002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4'!$G$14:$G$22</c:f>
              <c:numCache>
                <c:formatCode>General</c:formatCode>
                <c:ptCount val="9"/>
                <c:pt idx="0">
                  <c:v>0.14599999999999999</c:v>
                </c:pt>
                <c:pt idx="1">
                  <c:v>5.9580000000000002</c:v>
                </c:pt>
                <c:pt idx="2">
                  <c:v>24.116</c:v>
                </c:pt>
                <c:pt idx="3">
                  <c:v>74.073999999999998</c:v>
                </c:pt>
                <c:pt idx="4">
                  <c:v>195.42599999999999</c:v>
                </c:pt>
                <c:pt idx="5">
                  <c:v>563.16099999999994</c:v>
                </c:pt>
                <c:pt idx="6">
                  <c:v>1328.2270000000001</c:v>
                </c:pt>
                <c:pt idx="7">
                  <c:v>1988.0619999999999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8.9999999999999993E-3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3.0000000000000001E-3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4'!$H$14:$H$22</c:f>
              <c:numCache>
                <c:formatCode>General</c:formatCode>
                <c:ptCount val="9"/>
                <c:pt idx="0">
                  <c:v>2E-3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3"/>
  <sheetViews>
    <sheetView tabSelected="1" topLeftCell="B1" zoomScale="90" zoomScaleNormal="90" workbookViewId="0">
      <selection activeCell="B23" sqref="B23"/>
    </sheetView>
  </sheetViews>
  <sheetFormatPr defaultColWidth="8.88671875" defaultRowHeight="14.4"/>
  <cols>
    <col min="1" max="1" width="19.109375" style="1" bestFit="1" customWidth="1"/>
    <col min="2" max="2" width="25.5546875" style="1" bestFit="1" customWidth="1"/>
    <col min="3" max="4" width="24.44140625" style="1" customWidth="1"/>
    <col min="5" max="5" width="24.44140625" style="6" customWidth="1"/>
    <col min="6" max="12" width="24.441406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27.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3.8">
      <c r="A3" s="2">
        <v>5.0000000000000001E-3</v>
      </c>
      <c r="B3" s="3">
        <f>Table1[[#This Row],[Porcentaje de la muestra '[pct']]]*10000</f>
        <v>50</v>
      </c>
      <c r="C3" s="4">
        <v>0.107</v>
      </c>
      <c r="D3" s="4">
        <v>0.08</v>
      </c>
      <c r="E3" s="4">
        <v>7.0000000000000001E-3</v>
      </c>
      <c r="F3" s="4">
        <v>7.3999999999999996E-2</v>
      </c>
      <c r="G3" s="4">
        <v>0.26600000000000001</v>
      </c>
      <c r="H3" s="4">
        <v>8.9999999999999993E-3</v>
      </c>
    </row>
    <row r="4" spans="1:8" s="5" customFormat="1" ht="13.8">
      <c r="A4" s="2">
        <v>0.05</v>
      </c>
      <c r="B4" s="3">
        <f>Table1[[#This Row],[Porcentaje de la muestra '[pct']]]*10000</f>
        <v>500</v>
      </c>
      <c r="C4" s="4">
        <v>0.40300000000000002</v>
      </c>
      <c r="D4" s="4">
        <v>0.44500000000000001</v>
      </c>
      <c r="E4" s="4">
        <v>5.0000000000000001E-3</v>
      </c>
      <c r="F4" s="4">
        <v>0.33600000000000002</v>
      </c>
      <c r="G4" s="4">
        <v>9.798</v>
      </c>
      <c r="H4" s="4">
        <v>2E-3</v>
      </c>
    </row>
    <row r="5" spans="1:8">
      <c r="A5" s="2">
        <v>0.1</v>
      </c>
      <c r="B5" s="3">
        <f>Table1[[#This Row],[Porcentaje de la muestra '[pct']]]*10000</f>
        <v>1000</v>
      </c>
      <c r="C5" s="4">
        <v>0.77200000000000002</v>
      </c>
      <c r="D5" s="4">
        <v>0.81799999999999995</v>
      </c>
      <c r="E5" s="4">
        <v>5.0000000000000001E-3</v>
      </c>
      <c r="F5" s="4">
        <v>0.64700000000000002</v>
      </c>
      <c r="G5" s="4">
        <v>45.534999999999997</v>
      </c>
      <c r="H5" s="4">
        <v>2E-3</v>
      </c>
    </row>
    <row r="6" spans="1:8">
      <c r="A6" s="2">
        <v>0.2</v>
      </c>
      <c r="B6" s="3">
        <f>Table1[[#This Row],[Porcentaje de la muestra '[pct']]]*10000</f>
        <v>2000</v>
      </c>
      <c r="C6" s="4">
        <v>1.825</v>
      </c>
      <c r="D6" s="4">
        <v>1.8859999999999999</v>
      </c>
      <c r="E6" s="4">
        <v>4.0000000000000001E-3</v>
      </c>
      <c r="F6" s="4">
        <v>1.4490000000000001</v>
      </c>
      <c r="G6" s="4">
        <v>136.529</v>
      </c>
      <c r="H6" s="4">
        <v>2E-3</v>
      </c>
    </row>
    <row r="7" spans="1:8">
      <c r="A7" s="2">
        <v>0.3</v>
      </c>
      <c r="B7" s="3">
        <f>Table1[[#This Row],[Porcentaje de la muestra '[pct']]]*10000</f>
        <v>3000</v>
      </c>
      <c r="C7" s="4">
        <v>2.3279999999999998</v>
      </c>
      <c r="D7" s="4">
        <v>2.7</v>
      </c>
      <c r="E7" s="4">
        <v>2E-3</v>
      </c>
      <c r="F7" s="4">
        <v>1.8520000000000001</v>
      </c>
      <c r="G7" s="4">
        <v>216.57599999999999</v>
      </c>
      <c r="H7" s="4">
        <v>2E-3</v>
      </c>
    </row>
    <row r="8" spans="1:8">
      <c r="A8" s="2">
        <v>0.5</v>
      </c>
      <c r="B8" s="3">
        <f>Table1[[#This Row],[Porcentaje de la muestra '[pct']]]*10000</f>
        <v>5000</v>
      </c>
      <c r="C8" s="4">
        <v>3.81</v>
      </c>
      <c r="D8" s="4">
        <v>4.242</v>
      </c>
      <c r="E8" s="4">
        <v>4.0000000000000001E-3</v>
      </c>
      <c r="F8" s="4">
        <v>59.073</v>
      </c>
      <c r="G8" s="4">
        <v>480.65899999999999</v>
      </c>
      <c r="H8" s="4">
        <v>2E-3</v>
      </c>
    </row>
    <row r="9" spans="1:8">
      <c r="A9" s="2">
        <v>0.8</v>
      </c>
      <c r="B9" s="3">
        <f>Table1[[#This Row],[Porcentaje de la muestra '[pct']]]*10000</f>
        <v>8000</v>
      </c>
      <c r="C9" s="4">
        <v>5.9509999999999996</v>
      </c>
      <c r="D9" s="4">
        <v>6.6440000000000001</v>
      </c>
      <c r="E9" s="4">
        <v>3.0000000000000001E-3</v>
      </c>
      <c r="F9" s="4">
        <v>6.1289999999999996</v>
      </c>
      <c r="G9" s="4">
        <v>1429.114</v>
      </c>
      <c r="H9" s="4">
        <v>2E-3</v>
      </c>
    </row>
    <row r="10" spans="1:8">
      <c r="A10" s="2">
        <v>1</v>
      </c>
      <c r="B10" s="3">
        <f>Table1[[#This Row],[Porcentaje de la muestra '[pct']]]*10000</f>
        <v>10000</v>
      </c>
      <c r="C10" s="4">
        <v>7.3440000000000003</v>
      </c>
      <c r="D10" s="4">
        <v>9.1240000000000006</v>
      </c>
      <c r="E10" s="4">
        <v>3.0000000000000001E-3</v>
      </c>
      <c r="F10" s="4">
        <v>12.345000000000001</v>
      </c>
      <c r="G10" s="4">
        <v>2148.4450000000002</v>
      </c>
      <c r="H10" s="4">
        <v>3.0000000000000001E-3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27.6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3.8">
      <c r="A14" s="2">
        <v>5.0000000000000001E-3</v>
      </c>
      <c r="B14" s="3">
        <f>Table13[[#This Row],[Porcentaje de la muestra '[pct']]]*10000</f>
        <v>50</v>
      </c>
      <c r="C14" s="4">
        <v>0.13200000000000001</v>
      </c>
      <c r="D14" s="4">
        <v>4.3999999999999997E-2</v>
      </c>
      <c r="E14" s="4">
        <v>5.0000000000000001E-3</v>
      </c>
      <c r="F14" s="4">
        <v>0.13300000000000001</v>
      </c>
      <c r="G14" s="4">
        <v>0.14599999999999999</v>
      </c>
      <c r="H14" s="4">
        <v>2E-3</v>
      </c>
    </row>
    <row r="15" spans="1:8" s="5" customFormat="1" ht="13.8">
      <c r="A15" s="2">
        <v>0.05</v>
      </c>
      <c r="B15" s="3">
        <f>Table13[[#This Row],[Porcentaje de la muestra '[pct']]]*10000</f>
        <v>500</v>
      </c>
      <c r="C15" s="4">
        <v>6.2839999999999998</v>
      </c>
      <c r="D15" s="4">
        <v>0.36399999999999999</v>
      </c>
      <c r="E15" s="4">
        <v>2E-3</v>
      </c>
      <c r="F15" s="4">
        <v>5.4020000000000001</v>
      </c>
      <c r="G15" s="4">
        <v>5.9580000000000002</v>
      </c>
      <c r="H15" s="4">
        <v>1E-3</v>
      </c>
    </row>
    <row r="16" spans="1:8">
      <c r="A16" s="2">
        <v>0.1</v>
      </c>
      <c r="B16" s="3">
        <f>Table13[[#This Row],[Porcentaje de la muestra '[pct']]]*10000</f>
        <v>1000</v>
      </c>
      <c r="C16" s="4">
        <v>46.51</v>
      </c>
      <c r="D16" s="4">
        <v>0.83899999999999997</v>
      </c>
      <c r="E16" s="4">
        <v>2E-3</v>
      </c>
      <c r="F16" s="4">
        <v>36.384999999999998</v>
      </c>
      <c r="G16" s="4">
        <v>24.116</v>
      </c>
      <c r="H16" s="4">
        <v>1E-3</v>
      </c>
    </row>
    <row r="17" spans="1:8">
      <c r="A17" s="2">
        <v>0.2</v>
      </c>
      <c r="B17" s="3">
        <f>Table13[[#This Row],[Porcentaje de la muestra '[pct']]]*10000</f>
        <v>2000</v>
      </c>
      <c r="C17" s="4">
        <v>106.13500000000001</v>
      </c>
      <c r="D17" s="4">
        <v>1.1240000000000001</v>
      </c>
      <c r="E17" s="4">
        <v>2E-3</v>
      </c>
      <c r="F17" s="4">
        <v>54.148000000000003</v>
      </c>
      <c r="G17" s="4">
        <v>74.073999999999998</v>
      </c>
      <c r="H17" s="4">
        <v>1E-3</v>
      </c>
    </row>
    <row r="18" spans="1:8">
      <c r="A18" s="2">
        <v>0.3</v>
      </c>
      <c r="B18" s="3">
        <f>Table13[[#This Row],[Porcentaje de la muestra '[pct']]]*10000</f>
        <v>3000</v>
      </c>
      <c r="C18" s="4">
        <v>212.916</v>
      </c>
      <c r="D18" s="4">
        <v>0.99099999999999999</v>
      </c>
      <c r="E18" s="4">
        <v>1E-3</v>
      </c>
      <c r="F18" s="4">
        <v>134.755</v>
      </c>
      <c r="G18" s="4">
        <v>195.42599999999999</v>
      </c>
      <c r="H18" s="4">
        <v>1E-3</v>
      </c>
    </row>
    <row r="19" spans="1:8">
      <c r="A19" s="2">
        <v>0.5</v>
      </c>
      <c r="B19" s="3">
        <f>Table13[[#This Row],[Porcentaje de la muestra '[pct']]]*10000</f>
        <v>5000</v>
      </c>
      <c r="C19" s="4">
        <v>515.16499999999996</v>
      </c>
      <c r="D19" s="4">
        <v>3.0209999999999999</v>
      </c>
      <c r="E19" s="4">
        <v>3.0000000000000001E-3</v>
      </c>
      <c r="F19" s="4">
        <v>539.005</v>
      </c>
      <c r="G19" s="4">
        <v>563.16099999999994</v>
      </c>
      <c r="H19" s="4">
        <v>1E-3</v>
      </c>
    </row>
    <row r="20" spans="1:8">
      <c r="A20" s="2">
        <v>0.8</v>
      </c>
      <c r="B20" s="3">
        <f>Table13[[#This Row],[Porcentaje de la muestra '[pct']]]*10000</f>
        <v>8000</v>
      </c>
      <c r="C20" s="4">
        <v>1229.557</v>
      </c>
      <c r="D20" s="4">
        <v>3.41</v>
      </c>
      <c r="E20" s="4">
        <v>1E-3</v>
      </c>
      <c r="F20" s="4">
        <v>1228.028</v>
      </c>
      <c r="G20" s="4">
        <v>1328.2270000000001</v>
      </c>
      <c r="H20" s="4">
        <v>1E-3</v>
      </c>
    </row>
    <row r="21" spans="1:8">
      <c r="A21" s="2">
        <v>1</v>
      </c>
      <c r="B21" s="3">
        <f>Table13[[#This Row],[Porcentaje de la muestra '[pct']]]*10000</f>
        <v>10000</v>
      </c>
      <c r="C21" s="4">
        <v>1910.09</v>
      </c>
      <c r="D21" s="4">
        <v>3.9689999999999999</v>
      </c>
      <c r="E21" s="4">
        <v>1E-3</v>
      </c>
      <c r="F21" s="4">
        <v>1860.5920000000001</v>
      </c>
      <c r="G21" s="4">
        <v>1988.0619999999999</v>
      </c>
      <c r="H21" s="4">
        <v>1E-3</v>
      </c>
    </row>
    <row r="23" spans="1:8">
      <c r="B23" s="1" t="s">
        <v>17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Alejandro Lastre</cp:lastModifiedBy>
  <cp:revision/>
  <dcterms:created xsi:type="dcterms:W3CDTF">2021-02-18T03:17:26Z</dcterms:created>
  <dcterms:modified xsi:type="dcterms:W3CDTF">2026-02-21T03:34:40Z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